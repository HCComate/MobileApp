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Hyung\Desktop\"/>
    </mc:Choice>
  </mc:AlternateContent>
  <xr:revisionPtr revIDLastSave="0" documentId="8_{68363D8B-28D1-48C7-A5B2-99C3AE5CE50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코드체계 설명" sheetId="1" r:id="rId1"/>
    <sheet name="전체 오류코드 50선" sheetId="2" r:id="rId2"/>
    <sheet name="분류별 요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3" l="1"/>
  <c r="E16" i="3"/>
  <c r="D16" i="3"/>
  <c r="C16" i="3"/>
</calcChain>
</file>

<file path=xl/sharedStrings.xml><?xml version="1.0" encoding="utf-8"?>
<sst xmlns="http://schemas.openxmlformats.org/spreadsheetml/2006/main" count="495" uniqueCount="374">
  <si>
    <t>통합 핵심 오류코드 50선  (형식: XX-YY-NN)</t>
  </si>
  <si>
    <t>Critical → High → Medium 순 정렬  |  공정 오류(HV HM HS SV SS) + 앱 오류(AN AM AD AS AG AX AH)</t>
  </si>
  <si>
    <t>오류코드</t>
  </si>
  <si>
    <t>대분류</t>
  </si>
  <si>
    <t>오류명</t>
  </si>
  <si>
    <t>발생 상황</t>
  </si>
  <si>
    <t>심각도</t>
  </si>
  <si>
    <t>대응 방법</t>
  </si>
  <si>
    <t>구 코드 참조</t>
  </si>
  <si>
    <t>HM-PO-01</t>
  </si>
  <si>
    <t>하드웨어 · 기계</t>
  </si>
  <si>
    <t>비상 정지 버튼 활성</t>
  </si>
  <si>
    <t>작업자 또는 안전 센서가 비상 정지 트리거</t>
  </si>
  <si>
    <t>Critical</t>
  </si>
  <si>
    <t>즉시 라인 중단, 원인 파악 후 재가동 승인</t>
  </si>
  <si>
    <t>구 HV-MC-PO-51</t>
  </si>
  <si>
    <t>HM-PO-02</t>
  </si>
  <si>
    <t>과전류 트립 발생</t>
  </si>
  <si>
    <t>모터·제어반에 허용 이상 전류 유입</t>
  </si>
  <si>
    <t>차단기 점검 및 원인 장비 교체 후 재투입</t>
  </si>
  <si>
    <t>구 HV-MC-PO-52</t>
  </si>
  <si>
    <t>SV-PR-01</t>
  </si>
  <si>
    <t>소프트웨어 · 비전</t>
  </si>
  <si>
    <t>부품 누락 (Missing) 감지</t>
  </si>
  <si>
    <t>필수 부품이 없는 제품 검출</t>
  </si>
  <si>
    <t>해당 제품 즉시 불량 처리 및 공정 점검</t>
  </si>
  <si>
    <t>구 SV-VS-PR-53</t>
  </si>
  <si>
    <t>AM-NT-01</t>
  </si>
  <si>
    <t>앱 · 모니터링</t>
  </si>
  <si>
    <t>임계값 초과 알림 미발송</t>
  </si>
  <si>
    <t>위험 수치 감지 후 알림 파이프라인 오류로 누락</t>
  </si>
  <si>
    <t>알림 파이프라인 즉시 점검, 임시 수동 모니터링</t>
  </si>
  <si>
    <t>HM-TE-01</t>
  </si>
  <si>
    <t>메인모터 과열 위험</t>
  </si>
  <si>
    <t>모터 온도가 위험 임계치 초과</t>
  </si>
  <si>
    <t>High</t>
  </si>
  <si>
    <t>모터 즉시 정지, 냉각 후 팬·열방산 점검</t>
  </si>
  <si>
    <t>구 HV-MC-TE-52</t>
  </si>
  <si>
    <t>HM-VI-01</t>
  </si>
  <si>
    <t>컨베이어 진동 과다</t>
  </si>
  <si>
    <t>컨베이어 벨트 진동이 허용치 초과</t>
  </si>
  <si>
    <t>라인 정지 후 체결 볼트·베어링 점검</t>
  </si>
  <si>
    <t>구 HV-MC-VI-51</t>
  </si>
  <si>
    <t>HM-AC-01</t>
  </si>
  <si>
    <t>그리퍼 흡착 압력 저하</t>
  </si>
  <si>
    <t>흡착 그리퍼 진공압 기준치 미달</t>
  </si>
  <si>
    <t>진공 라인 및 씰 상태 점검</t>
  </si>
  <si>
    <t>구 HV-MC-AC-51</t>
  </si>
  <si>
    <t>HM-PR-01</t>
  </si>
  <si>
    <t>가이드 레일 이탈</t>
  </si>
  <si>
    <t>이송 중 제품이 가이드 레일 벗어남</t>
  </si>
  <si>
    <t>즉시 정지 후 레일 정렬 및 센서 재보정</t>
  </si>
  <si>
    <t>구 HV-MC-PR-51</t>
  </si>
  <si>
    <t>HM-PR-02</t>
  </si>
  <si>
    <t>근접 센서 감지 불량</t>
  </si>
  <si>
    <t>이송 위치 확인 근접 센서 신호 오류</t>
  </si>
  <si>
    <t>센서 거리 재조정 또는 교체</t>
  </si>
  <si>
    <t>구 HV-MC-PR-55</t>
  </si>
  <si>
    <t>HM-PO-03</t>
  </si>
  <si>
    <t>전력 누전 감지</t>
  </si>
  <si>
    <t>장비 본체에서 누전 신호 감지</t>
  </si>
  <si>
    <t>즉시 전원 차단 후 누전 위치 측정·절연 처리</t>
  </si>
  <si>
    <t>구 HV-MC-PO-53</t>
  </si>
  <si>
    <t>HV-PR-01</t>
  </si>
  <si>
    <t>하드웨어 · 비전</t>
  </si>
  <si>
    <t>카메라 셔터 고장</t>
  </si>
  <si>
    <t>카메라 기계식 셔터 오작동으로 촬영 불가</t>
  </si>
  <si>
    <t>카메라 모듈 교체 및 검사 재개</t>
  </si>
  <si>
    <t>구 HV-VS-PR-54</t>
  </si>
  <si>
    <t>HV-PR-02</t>
  </si>
  <si>
    <t>조명 컨트롤러 단선</t>
  </si>
  <si>
    <t>비전 조명 제어 케이블 단선</t>
  </si>
  <si>
    <t>케이블 교체 및 조명 출력 재확인</t>
  </si>
  <si>
    <t>구 HV-VS-PR-52</t>
  </si>
  <si>
    <t>HS-NE-01</t>
  </si>
  <si>
    <t>하드웨어 · 시스템</t>
  </si>
  <si>
    <t>LAN 케이블 물리적 단선</t>
  </si>
  <si>
    <t>제어 PC와 장비 간 네트워크 케이블 단선</t>
  </si>
  <si>
    <t>케이블 교체 후 통신 복구</t>
  </si>
  <si>
    <t>구 HV-SY-NE-51</t>
  </si>
  <si>
    <t>HS-DA-01</t>
  </si>
  <si>
    <t>SD카드 쓰기 실패</t>
  </si>
  <si>
    <t>라즈베리파이 로컬 저장 매체 쓰기 오류</t>
  </si>
  <si>
    <t>SD카드 교체 또는 저장 경로 재설정</t>
  </si>
  <si>
    <t>구 HV-SY-DA-51</t>
  </si>
  <si>
    <t>HS-PO-01</t>
  </si>
  <si>
    <t>메인 전압 강하</t>
  </si>
  <si>
    <t>공급 전압이 허용 하한치 이하로 떨어짐</t>
  </si>
  <si>
    <t>전원 공급 장치 점검 및 UPS 상태 확인</t>
  </si>
  <si>
    <t>구 HV-SY-PO-51</t>
  </si>
  <si>
    <t>SV-PR-02</t>
  </si>
  <si>
    <t>물리적 찍힘 (Dent) 감지</t>
  </si>
  <si>
    <t>제품 표면 물리적 변형 검출</t>
  </si>
  <si>
    <t>해당 제품 불량 처리, 이송 충격 원인 조사</t>
  </si>
  <si>
    <t>구 SV-VS-PR-52</t>
  </si>
  <si>
    <t>SV-PR-03</t>
  </si>
  <si>
    <t>패턴 단선 감지</t>
  </si>
  <si>
    <t>회로 패턴 단선 불량 검출</t>
  </si>
  <si>
    <t>해당 제품 불량 처리 및 공정별 원인 분석</t>
  </si>
  <si>
    <t>구 SV-VS-PR-56</t>
  </si>
  <si>
    <t>SV-PR-04</t>
  </si>
  <si>
    <t>크랙 감지 (Crack)</t>
  </si>
  <si>
    <t>제품 표면 또는 내부 균열 검출</t>
  </si>
  <si>
    <t>해당 제품 격리 및 공정 압력·온도 점검</t>
  </si>
  <si>
    <t>구 SV-VS-PR-58</t>
  </si>
  <si>
    <t>SS-DA-01</t>
  </si>
  <si>
    <t>소프트웨어 · 시스템</t>
  </si>
  <si>
    <t>DB 쓰기 권한 오류</t>
  </si>
  <si>
    <t>검사 결과 DB 저장 중 권한 거부</t>
  </si>
  <si>
    <t>DB 계정 권한 재설정 및 서버 로그 확인</t>
  </si>
  <si>
    <t>구 SV-SY-DA-51</t>
  </si>
  <si>
    <t>SS-NE-01</t>
  </si>
  <si>
    <t>소켓 연결 끊김</t>
  </si>
  <si>
    <t>앱-서버 간 TCP 소켓 연결 비정상 종료</t>
  </si>
  <si>
    <t>소켓 재연결 시도, 방화벽 및 서버 상태 확인</t>
  </si>
  <si>
    <t>구 SV-SY-NE-52</t>
  </si>
  <si>
    <t>AM-CN-01</t>
  </si>
  <si>
    <t>모니터링 기기 연결 끊김</t>
  </si>
  <si>
    <t>라즈베리파이 등 하드웨어 통신 단절</t>
  </si>
  <si>
    <t>장비 전원 및 네트워크 연결 상태 점검</t>
  </si>
  <si>
    <t>AM-CN-02</t>
  </si>
  <si>
    <t>센서 데이터 수신 실패</t>
  </si>
  <si>
    <t>센서 스트림 데이터 미수신</t>
  </si>
  <si>
    <t>센서 및 통신 라인 점검</t>
  </si>
  <si>
    <t>AM-SY-01</t>
  </si>
  <si>
    <t>실시간 모니터링 동기화 끊김</t>
  </si>
  <si>
    <t>대시보드 실시간 갱신 중단</t>
  </si>
  <si>
    <t>WebSocket 재연결 및 폴링 모드 전환</t>
  </si>
  <si>
    <t>AM-TM-01</t>
  </si>
  <si>
    <t>센서 폴링 타임아웃</t>
  </si>
  <si>
    <t>정해진 주기 내 센서 응답 없음</t>
  </si>
  <si>
    <t>폴링 주기 재설정 및 장비 상태 확인</t>
  </si>
  <si>
    <t>AM-VL-01</t>
  </si>
  <si>
    <t>센서값 유효 범위 초과</t>
  </si>
  <si>
    <t>물리적으로 불가능한 센서 수치 수신</t>
  </si>
  <si>
    <t>센서 보정 및 하드웨어 점검</t>
  </si>
  <si>
    <t>AN-CN-01</t>
  </si>
  <si>
    <t>앱 · 네트워크</t>
  </si>
  <si>
    <t>서버 연결 실패</t>
  </si>
  <si>
    <t>백엔드 서버 다운 또는 네트워크 단절</t>
  </si>
  <si>
    <t>서버 상태 확인 및 네트워크 점검</t>
  </si>
  <si>
    <t>AN-CN-02</t>
  </si>
  <si>
    <t>WebSocket 연결 끊김</t>
  </si>
  <si>
    <t>실시간 소켓 연결 비정상 종료</t>
  </si>
  <si>
    <t>자동 재연결 시도, 3회 실패 시 수동 재시작</t>
  </si>
  <si>
    <t>AN-CN-03</t>
  </si>
  <si>
    <t>API 호출 실패</t>
  </si>
  <si>
    <t>REST API 호출 중 오류 응답</t>
  </si>
  <si>
    <t>HTTP 상태코드 확인 후 재시도</t>
  </si>
  <si>
    <t>AH-CN-01</t>
  </si>
  <si>
    <t>앱 · 장비연동</t>
  </si>
  <si>
    <t>장비 통신 연결 실패</t>
  </si>
  <si>
    <t>장비와 앱 간 초기 통신 연결 불가</t>
  </si>
  <si>
    <t>IP/포트 설정 및 방화벽 규칙 확인</t>
  </si>
  <si>
    <t>AH-CN-02</t>
  </si>
  <si>
    <t>장비 응답 없음</t>
  </si>
  <si>
    <t>연결 후 장비로부터 응답 수신 불가</t>
  </si>
  <si>
    <t>장비 전원 및 네트워크 상태 점검</t>
  </si>
  <si>
    <t>AH-TM-01</t>
  </si>
  <si>
    <t>장비 응답 타임아웃</t>
  </si>
  <si>
    <t>커맨드 전송 후 응답 시간 초과</t>
  </si>
  <si>
    <t>네트워크 지연 점검 및 타임아웃값 재설정</t>
  </si>
  <si>
    <t>HM-TE-02</t>
  </si>
  <si>
    <t>메인모터 과열 주의</t>
  </si>
  <si>
    <t>모터 온도가 경고 임계치 초과</t>
  </si>
  <si>
    <t>Medium</t>
  </si>
  <si>
    <t>팬 동작 확인 및 부하 감소, 지속 모니터링</t>
  </si>
  <si>
    <t>구 HV-MC-TE-51</t>
  </si>
  <si>
    <t>HV-VA-01</t>
  </si>
  <si>
    <t>카메라 지그 수평 이탈</t>
  </si>
  <si>
    <t>카메라 고정 지그 기울기 발생</t>
  </si>
  <si>
    <t>지그 재조정 및 수평 보정 후 검사 재개</t>
  </si>
  <si>
    <t>구 HV-VS-VA-51</t>
  </si>
  <si>
    <t>HV-PR-03</t>
  </si>
  <si>
    <t>카메라 케이블 노이즈</t>
  </si>
  <si>
    <t>카메라 신호 케이블에 전자기 노이즈 유입</t>
  </si>
  <si>
    <t>케이블 차폐 처리 또는 경로 변경</t>
  </si>
  <si>
    <t>구 HV-VS-PR-53</t>
  </si>
  <si>
    <t>SV-PR-05</t>
  </si>
  <si>
    <t>표면 스크래치 감지</t>
  </si>
  <si>
    <t>제품 표면 긁힘 불량 검출</t>
  </si>
  <si>
    <t>해당 제품 등급 분류 및 이송 경로 마찰 점검</t>
  </si>
  <si>
    <t>구 SV-VS-PR-51</t>
  </si>
  <si>
    <t>SV-PR-06</t>
  </si>
  <si>
    <t>오정렬 (Misaligned) 감지</t>
  </si>
  <si>
    <t>제품 탑재 방향·위치 어긋남 검출</t>
  </si>
  <si>
    <t>해당 제품 재투입 또는 불량 처리</t>
  </si>
  <si>
    <t>구 SV-VS-PR-54</t>
  </si>
  <si>
    <t>SV-VA-01</t>
  </si>
  <si>
    <t>AI 판독 신뢰도 저하</t>
  </si>
  <si>
    <t>AI 검사 모델 예측 신뢰도 기준 미달</t>
  </si>
  <si>
    <t>모델 재보정 또는 수동 검사 전환</t>
  </si>
  <si>
    <t>구 SV-VS-VA-51</t>
  </si>
  <si>
    <t>SV-VA-02</t>
  </si>
  <si>
    <t>분석 타임아웃 발생</t>
  </si>
  <si>
    <t>이미지 분석 처리 시간 초과</t>
  </si>
  <si>
    <t>제어 보드 부하 확인 및 모델 경량화 검토</t>
  </si>
  <si>
    <t>구 SV-VS-VA-52</t>
  </si>
  <si>
    <t>SV-VA-03</t>
  </si>
  <si>
    <t>이미지 노이즈 과다 감지</t>
  </si>
  <si>
    <t>카메라 이미지에 전자기·광원 노이즈가 과다하게 유입되어 AI 검사 정확도 저하</t>
  </si>
  <si>
    <t>노이즈 발생 광원·케이블 점검, 카메라 노이즈 필터 설정 조정 및 AI 모델 재판독 요청</t>
  </si>
  <si>
    <t>AD-DA-01</t>
  </si>
  <si>
    <t>앱 · 데이터</t>
  </si>
  <si>
    <t>로컬 저장 실패</t>
  </si>
  <si>
    <t>AsyncStorage 또는 SQLite 쓰기 오류</t>
  </si>
  <si>
    <t>저장소 권한·용량 확인</t>
  </si>
  <si>
    <t>AD-VL-01</t>
  </si>
  <si>
    <t>필수 데이터 누락</t>
  </si>
  <si>
    <t>API 응답에서 필수 필드 없음</t>
  </si>
  <si>
    <t>서버 측 데이터 생성 로직 점검</t>
  </si>
  <si>
    <t>AD-PR-01</t>
  </si>
  <si>
    <t>JSON 파싱 오류</t>
  </si>
  <si>
    <t>수신 데이터 JSON 형식 불량</t>
  </si>
  <si>
    <t>서버 응답 로그 확인, API 담당자 문의</t>
  </si>
  <si>
    <t>AS-AT-01</t>
  </si>
  <si>
    <t>앱 · 보안</t>
  </si>
  <si>
    <t>로그인 실패</t>
  </si>
  <si>
    <t>ID/PW 불일치 또는 계정 없음</t>
  </si>
  <si>
    <t>인증 정보 재확인 및 비밀번호 재설정</t>
  </si>
  <si>
    <t>AS-AT-02</t>
  </si>
  <si>
    <t>액세스 토큰 만료</t>
  </si>
  <si>
    <t>JWT 또는 세션 토큰 유효 기간 초과</t>
  </si>
  <si>
    <t>토큰 자동 갱신 시도, 실패 시 재로그인</t>
  </si>
  <si>
    <t>AS-AT-03</t>
  </si>
  <si>
    <t>비정상 로그인 패턴 감지</t>
  </si>
  <si>
    <t>단시간 다수 로그인 시도 감지</t>
  </si>
  <si>
    <t>계정 잠금 후 본인 확인 절차 안내</t>
  </si>
  <si>
    <t>AN-TM-01</t>
  </si>
  <si>
    <t>요청 타임아웃</t>
  </si>
  <si>
    <t>요청 전송 후 지정 시간 내 응답 없음</t>
  </si>
  <si>
    <t>타임아웃 설정값 검토 및 서버 부하 확인</t>
  </si>
  <si>
    <t>AN-SY-01</t>
  </si>
  <si>
    <t>서버 데이터 동기화 실패</t>
  </si>
  <si>
    <t>로컬·서버 간 데이터 불일치 발생</t>
  </si>
  <si>
    <t>수동 동기화 실행, 증상 지속 시 로그 전송</t>
  </si>
  <si>
    <t>AM-NT-02</t>
  </si>
  <si>
    <t>알림 전송 실패</t>
  </si>
  <si>
    <t>푸시 알림 발송 중 오류</t>
  </si>
  <si>
    <t>FCM 설정 및 기기 알림 권한 확인</t>
  </si>
  <si>
    <t>AH-PR-01</t>
  </si>
  <si>
    <t>통신 프로토콜 불일치</t>
  </si>
  <si>
    <t>장비 통신 프로토콜 버전 차이 발생</t>
  </si>
  <si>
    <t>프로토콜 버전 통일 및 펌웨어 업데이트</t>
  </si>
  <si>
    <t>AH-SY-01</t>
  </si>
  <si>
    <t>장비 상태 동기화 실패</t>
  </si>
  <si>
    <t>앱 내 장비 상태와 실제 장비 상태 불일치</t>
  </si>
  <si>
    <t>강제 상태 새로고침 및 장비 재연결</t>
  </si>
  <si>
    <t>AX-IN-01</t>
  </si>
  <si>
    <t>앱 · 시스템</t>
  </si>
  <si>
    <t>앱 초기화 실패</t>
  </si>
  <si>
    <t>앱 최초 실행 시 초기화 루틴 오류</t>
  </si>
  <si>
    <t>앱 재시작, 증상 지속 시 재설치</t>
  </si>
  <si>
    <t>AG-RD-01</t>
  </si>
  <si>
    <t>앱 · 화면(GUI)</t>
  </si>
  <si>
    <t>차트/그래프 렌더링 오류</t>
  </si>
  <si>
    <t>모니터링 대시보드 차트 표시 실패</t>
  </si>
  <si>
    <t>데이터 유효성 확인 및 차트 라이브러리 재초기화</t>
  </si>
  <si>
    <t>반도체 공정 모니터링 — 오류코드 체계 정의서</t>
  </si>
  <si>
    <t>오류코드 형식:  [대분류 2자리] - [소분류 2자리] - [번호 2자리]</t>
  </si>
  <si>
    <t>예시: HM-PO-01  →  HM = 하드웨어·기계  /  PO = 전원  /  01 = 첫 번째 전원 오류</t>
  </si>
  <si>
    <t>① 1~2번째 자리 (대분류) — 오류 발생 위치</t>
  </si>
  <si>
    <t>② 3~4번째 자리 (소분류) — 오류 유형</t>
  </si>
  <si>
    <t>코드</t>
  </si>
  <si>
    <t>의미</t>
  </si>
  <si>
    <t>설명</t>
  </si>
  <si>
    <t>유형명</t>
  </si>
  <si>
    <t>한국어</t>
  </si>
  <si>
    <t>HV</t>
  </si>
  <si>
    <t>카메라·조명 등 물리적 촬영 장비</t>
  </si>
  <si>
    <t>PR</t>
  </si>
  <si>
    <t>Process</t>
  </si>
  <si>
    <t>공정/처리</t>
  </si>
  <si>
    <t>공정·이송·프로토콜 오류</t>
  </si>
  <si>
    <t>HM</t>
  </si>
  <si>
    <t>컨베이어·모터·그리퍼 등 구동 기계</t>
  </si>
  <si>
    <t>VA</t>
  </si>
  <si>
    <t>Vision Anal.</t>
  </si>
  <si>
    <t>비전분석</t>
  </si>
  <si>
    <t>AI 판독·촬영 결과 이상</t>
  </si>
  <si>
    <t>HS</t>
  </si>
  <si>
    <t>전원·네트워크·SD카드 등 HW 인프라</t>
  </si>
  <si>
    <t>TE</t>
  </si>
  <si>
    <t>Temperature</t>
  </si>
  <si>
    <t>온도</t>
  </si>
  <si>
    <t>과열·냉각 실패 오류</t>
  </si>
  <si>
    <t>SV</t>
  </si>
  <si>
    <t>AI 검사·이미지 분석 소프트웨어</t>
  </si>
  <si>
    <t>VI</t>
  </si>
  <si>
    <t>Vibration</t>
  </si>
  <si>
    <t>진동</t>
  </si>
  <si>
    <t>기계 진동·마모 이상</t>
  </si>
  <si>
    <t>SS</t>
  </si>
  <si>
    <t>DB·네트워크 등 공정 소프트웨어</t>
  </si>
  <si>
    <t>AC</t>
  </si>
  <si>
    <t>Actuator</t>
  </si>
  <si>
    <t>액추에이터</t>
  </si>
  <si>
    <t>그리퍼·실린더 오류</t>
  </si>
  <si>
    <t>AN</t>
  </si>
  <si>
    <t>앱의 서버 API·소켓 통신</t>
  </si>
  <si>
    <t>PO</t>
  </si>
  <si>
    <t>Power</t>
  </si>
  <si>
    <t>전원</t>
  </si>
  <si>
    <t>전압 이상·과전류·비상정지</t>
  </si>
  <si>
    <t>AM</t>
  </si>
  <si>
    <t>앱의 실시간 센서 수신·알림</t>
  </si>
  <si>
    <t>NE</t>
  </si>
  <si>
    <t>Network(HW)</t>
  </si>
  <si>
    <t>네트워크</t>
  </si>
  <si>
    <t>HW 레벨 통신 단선</t>
  </si>
  <si>
    <t>AD</t>
  </si>
  <si>
    <t>앱의 로컬 저장·캐시·파싱</t>
  </si>
  <si>
    <t>DA</t>
  </si>
  <si>
    <t>Data</t>
  </si>
  <si>
    <t>데이터</t>
  </si>
  <si>
    <t>저장·읽기 오류</t>
  </si>
  <si>
    <t>AS</t>
  </si>
  <si>
    <t>앱의 인증·권한·세션</t>
  </si>
  <si>
    <t>HE</t>
  </si>
  <si>
    <t>Health</t>
  </si>
  <si>
    <t>시스템상태</t>
  </si>
  <si>
    <t>CPU·메모리 이상</t>
  </si>
  <si>
    <t>AG</t>
  </si>
  <si>
    <t>앱의 UI 렌더링·사용자 입력</t>
  </si>
  <si>
    <t>CN</t>
  </si>
  <si>
    <t>Connection</t>
  </si>
  <si>
    <t>연결</t>
  </si>
  <si>
    <t>앱 레벨 연결 실패</t>
  </si>
  <si>
    <t>AX</t>
  </si>
  <si>
    <t>앱 초기화·설정·버전 오류</t>
  </si>
  <si>
    <t>TM</t>
  </si>
  <si>
    <t>Timeout</t>
  </si>
  <si>
    <t>타임아웃</t>
  </si>
  <si>
    <t>응답 대기 시간 초과</t>
  </si>
  <si>
    <t>AH</t>
  </si>
  <si>
    <t>앱과 현장 장비 간 통신 프로토콜</t>
  </si>
  <si>
    <t>SY</t>
  </si>
  <si>
    <t>Sync</t>
  </si>
  <si>
    <t>동기화</t>
  </si>
  <si>
    <t>데이터 동기화 실패</t>
  </si>
  <si>
    <t>※ 1번째 자리: H=하드웨어  S=소프트웨어  A=앱</t>
  </si>
  <si>
    <t>NT</t>
  </si>
  <si>
    <t>Notification</t>
  </si>
  <si>
    <t>알림</t>
  </si>
  <si>
    <t>경보·푸시 알림 오류</t>
  </si>
  <si>
    <t>※ 2번째 자리: V=비전  M=기계  S=시스템  N=네트워크  D=데이터  G=화면  H=장비연동  X=초기화</t>
  </si>
  <si>
    <t>AT</t>
  </si>
  <si>
    <t>Auth</t>
  </si>
  <si>
    <t>인증</t>
  </si>
  <si>
    <t>로그인·토큰 오류</t>
  </si>
  <si>
    <t>VL</t>
  </si>
  <si>
    <t>Validation</t>
  </si>
  <si>
    <t>유효성</t>
  </si>
  <si>
    <t>값 검증 실패</t>
  </si>
  <si>
    <t>③ 5~6번째 자리 (번호) — 동일 대분류·소분류 내 발생 순서대로 01 ~ 99 부여. 예) HM-PO-01, HM-PO-02 …</t>
  </si>
  <si>
    <t>IN</t>
  </si>
  <si>
    <t>Init</t>
  </si>
  <si>
    <t>초기화</t>
  </si>
  <si>
    <t>앱 구동 초기화 오류</t>
  </si>
  <si>
    <t>대분류 × 심각도 분포 요약</t>
  </si>
  <si>
    <t>합계</t>
  </si>
  <si>
    <t>HV · 하드웨어 · 비전</t>
  </si>
  <si>
    <t>-</t>
  </si>
  <si>
    <t>HM · 하드웨어 · 기계</t>
  </si>
  <si>
    <t>HS · 하드웨어 · 시스템</t>
  </si>
  <si>
    <t>SV · 소프트웨어 · 비전</t>
  </si>
  <si>
    <t>SS · 소프트웨어 · 시스템</t>
  </si>
  <si>
    <t>AN · 앱 · 네트워크</t>
  </si>
  <si>
    <t>AM · 앱 · 모니터링</t>
  </si>
  <si>
    <t>AD · 앱 · 데이터</t>
  </si>
  <si>
    <t>AS · 앱 · 보안</t>
  </si>
  <si>
    <t>AG · 앱 · 화면(GUI)</t>
  </si>
  <si>
    <t>AX · 앱 · 시스템</t>
  </si>
  <si>
    <t>AH · 앱 · 장비연동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</si>
</sst>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</font>
    <font>
      <b/>
      <sz val="13"/>
      <color rgb="FFFFFFFF"/>
      <name val="Arial"/>
    </font>
    <font>
      <sz val="11"/>
      <color rgb="FF1E293B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E293B"/>
      <name val="Arial"/>
    </font>
    <font>
      <sz val="10"/>
      <color rgb="FF1E293B"/>
      <name val="Arial"/>
    </font>
    <font>
      <sz val="9"/>
      <color rgb="FF1E293B"/>
      <name val="Arial"/>
    </font>
    <font>
      <b/>
      <sz val="15"/>
      <color rgb="FFFFFFFF"/>
      <name val="Arial"/>
    </font>
    <font>
      <sz val="9"/>
      <color rgb="FFFFFFFF"/>
      <name val="Arial"/>
    </font>
    <font>
      <sz val="8"/>
      <color rgb="FF1E293B"/>
      <name val="Arial"/>
    </font>
    <font>
      <b/>
      <sz val="14"/>
      <color rgb="FFFFFFFF"/>
      <name val="Arial"/>
    </font>
    <font>
      <sz val="8"/>
      <name val="맑은 고딕"/>
      <family val="3"/>
      <charset val="129"/>
      <scheme val="minor"/>
    </font>
    <font>
      <b/>
      <sz val="10"/>
      <color rgb="FF1E293B"/>
      <name val="Arial"/>
    </font>
    <font>
      <sz val="9"/>
      <color rgb="FF1E293B"/>
      <name val="Arial"/>
    </font>
    <font>
      <b/>
      <sz val="10"/>
      <color rgb="FFFFFFFF"/>
      <name val="Arial"/>
    </font>
    <font>
      <sz val="8"/>
      <color rgb="FF1E293B"/>
      <name val="Arial"/>
    </font>
    <font>
      <sz val="9"/>
      <color rgb="FF1E293B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E0E7FF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CE7F3"/>
      </patternFill>
    </fill>
    <fill>
      <patternFill patternType="solid">
        <fgColor rgb="FFFDF2F8"/>
      </patternFill>
    </fill>
    <fill>
      <patternFill patternType="solid">
        <fgColor rgb="FFF5F3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D97706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 wrapText="1"/>
    </xf>
    <xf numFmtId="0" fontId="16" fillId="24" borderId="4" xfId="0" applyFont="1" applyFill="1" applyBorder="1" applyAlignment="1">
      <alignment horizontal="center" vertical="center" wrapText="1"/>
    </xf>
    <xf numFmtId="0" fontId="17" fillId="25" borderId="4" xfId="0" applyFont="1" applyFill="1" applyBorder="1" applyAlignment="1">
      <alignment horizontal="center" vertical="center" wrapText="1"/>
    </xf>
    <xf numFmtId="0" fontId="18" fillId="23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"/>
  <sheetViews>
    <sheetView showGridLines="0" topLeftCell="A7" workbookViewId="0"/>
  </sheetViews>
  <sheetFormatPr defaultRowHeight="16.899999999999999" x14ac:dyDescent="0.6"/>
  <cols>
    <col min="1" max="1" width="3" customWidth="1"/>
    <col min="2" max="2" width="13" customWidth="1"/>
    <col min="3" max="4" width="18" customWidth="1"/>
    <col min="5" max="5" width="28" customWidth="1"/>
    <col min="6" max="6" width="3" customWidth="1"/>
    <col min="7" max="7" width="13" customWidth="1"/>
    <col min="8" max="8" width="18" customWidth="1"/>
    <col min="9" max="9" width="28" customWidth="1"/>
    <col min="10" max="10" width="3" customWidth="1"/>
  </cols>
  <sheetData>
    <row r="1" spans="2:9" ht="39.950000000000003" customHeight="1" x14ac:dyDescent="0.6">
      <c r="B1" s="75" t="s">
        <v>258</v>
      </c>
      <c r="C1" s="72"/>
      <c r="D1" s="72"/>
      <c r="E1" s="72"/>
      <c r="F1" s="72"/>
      <c r="G1" s="72"/>
      <c r="H1" s="72"/>
      <c r="I1" s="73"/>
    </row>
    <row r="2" spans="2:9" ht="30" customHeight="1" x14ac:dyDescent="0.6">
      <c r="B2" s="78" t="s">
        <v>259</v>
      </c>
      <c r="C2" s="72"/>
      <c r="D2" s="72"/>
      <c r="E2" s="72"/>
      <c r="F2" s="72"/>
      <c r="G2" s="72"/>
      <c r="H2" s="72"/>
      <c r="I2" s="73"/>
    </row>
    <row r="3" spans="2:9" ht="26.1" customHeight="1" x14ac:dyDescent="0.6">
      <c r="B3" s="79" t="s">
        <v>260</v>
      </c>
      <c r="C3" s="72"/>
      <c r="D3" s="72"/>
      <c r="E3" s="72"/>
      <c r="F3" s="72"/>
      <c r="G3" s="72"/>
      <c r="H3" s="72"/>
      <c r="I3" s="73"/>
    </row>
    <row r="5" spans="2:9" ht="26.1" customHeight="1" x14ac:dyDescent="0.6">
      <c r="B5" s="77" t="s">
        <v>261</v>
      </c>
      <c r="C5" s="72"/>
      <c r="D5" s="73"/>
      <c r="F5" s="77" t="s">
        <v>262</v>
      </c>
      <c r="G5" s="72"/>
      <c r="H5" s="72"/>
      <c r="I5" s="73"/>
    </row>
    <row r="6" spans="2:9" ht="24" customHeight="1" x14ac:dyDescent="0.6">
      <c r="B6" s="1" t="s">
        <v>263</v>
      </c>
      <c r="C6" s="1" t="s">
        <v>264</v>
      </c>
      <c r="D6" s="1" t="s">
        <v>265</v>
      </c>
      <c r="F6" s="1" t="s">
        <v>263</v>
      </c>
      <c r="G6" s="1" t="s">
        <v>266</v>
      </c>
      <c r="H6" s="1" t="s">
        <v>267</v>
      </c>
      <c r="I6" s="1" t="s">
        <v>265</v>
      </c>
    </row>
    <row r="7" spans="2:9" ht="24" customHeight="1" x14ac:dyDescent="0.6">
      <c r="B7" s="2" t="s">
        <v>268</v>
      </c>
      <c r="C7" s="3" t="s">
        <v>64</v>
      </c>
      <c r="D7" s="4" t="s">
        <v>269</v>
      </c>
      <c r="F7" s="5" t="s">
        <v>270</v>
      </c>
      <c r="G7" s="6" t="s">
        <v>271</v>
      </c>
      <c r="H7" s="7" t="s">
        <v>272</v>
      </c>
      <c r="I7" s="6" t="s">
        <v>273</v>
      </c>
    </row>
    <row r="8" spans="2:9" ht="24" customHeight="1" x14ac:dyDescent="0.6">
      <c r="B8" s="8" t="s">
        <v>274</v>
      </c>
      <c r="C8" s="9" t="s">
        <v>10</v>
      </c>
      <c r="D8" s="10" t="s">
        <v>275</v>
      </c>
      <c r="F8" s="11" t="s">
        <v>276</v>
      </c>
      <c r="G8" s="12" t="s">
        <v>277</v>
      </c>
      <c r="H8" s="13" t="s">
        <v>278</v>
      </c>
      <c r="I8" s="12" t="s">
        <v>279</v>
      </c>
    </row>
    <row r="9" spans="2:9" ht="24" customHeight="1" x14ac:dyDescent="0.6">
      <c r="B9" s="14" t="s">
        <v>280</v>
      </c>
      <c r="C9" s="15" t="s">
        <v>75</v>
      </c>
      <c r="D9" s="16" t="s">
        <v>281</v>
      </c>
      <c r="F9" s="17" t="s">
        <v>282</v>
      </c>
      <c r="G9" s="18" t="s">
        <v>283</v>
      </c>
      <c r="H9" s="19" t="s">
        <v>284</v>
      </c>
      <c r="I9" s="18" t="s">
        <v>285</v>
      </c>
    </row>
    <row r="10" spans="2:9" ht="24" customHeight="1" x14ac:dyDescent="0.6">
      <c r="B10" s="20" t="s">
        <v>286</v>
      </c>
      <c r="C10" s="21" t="s">
        <v>22</v>
      </c>
      <c r="D10" s="22" t="s">
        <v>287</v>
      </c>
      <c r="F10" s="17" t="s">
        <v>288</v>
      </c>
      <c r="G10" s="18" t="s">
        <v>289</v>
      </c>
      <c r="H10" s="19" t="s">
        <v>290</v>
      </c>
      <c r="I10" s="18" t="s">
        <v>291</v>
      </c>
    </row>
    <row r="11" spans="2:9" ht="24" customHeight="1" x14ac:dyDescent="0.6">
      <c r="B11" s="17" t="s">
        <v>292</v>
      </c>
      <c r="C11" s="19" t="s">
        <v>106</v>
      </c>
      <c r="D11" s="18" t="s">
        <v>293</v>
      </c>
      <c r="F11" s="17" t="s">
        <v>294</v>
      </c>
      <c r="G11" s="18" t="s">
        <v>295</v>
      </c>
      <c r="H11" s="19" t="s">
        <v>296</v>
      </c>
      <c r="I11" s="18" t="s">
        <v>297</v>
      </c>
    </row>
    <row r="12" spans="2:9" ht="24" customHeight="1" x14ac:dyDescent="0.6">
      <c r="B12" s="23" t="s">
        <v>298</v>
      </c>
      <c r="C12" s="24" t="s">
        <v>137</v>
      </c>
      <c r="D12" s="25" t="s">
        <v>299</v>
      </c>
      <c r="F12" s="17" t="s">
        <v>300</v>
      </c>
      <c r="G12" s="18" t="s">
        <v>301</v>
      </c>
      <c r="H12" s="19" t="s">
        <v>302</v>
      </c>
      <c r="I12" s="18" t="s">
        <v>303</v>
      </c>
    </row>
    <row r="13" spans="2:9" ht="24" customHeight="1" x14ac:dyDescent="0.6">
      <c r="B13" s="26" t="s">
        <v>304</v>
      </c>
      <c r="C13" s="27" t="s">
        <v>28</v>
      </c>
      <c r="D13" s="28" t="s">
        <v>305</v>
      </c>
      <c r="F13" s="11" t="s">
        <v>306</v>
      </c>
      <c r="G13" s="12" t="s">
        <v>307</v>
      </c>
      <c r="H13" s="13" t="s">
        <v>308</v>
      </c>
      <c r="I13" s="12" t="s">
        <v>309</v>
      </c>
    </row>
    <row r="14" spans="2:9" ht="24" customHeight="1" x14ac:dyDescent="0.6">
      <c r="B14" s="29" t="s">
        <v>310</v>
      </c>
      <c r="C14" s="30" t="s">
        <v>203</v>
      </c>
      <c r="D14" s="31" t="s">
        <v>311</v>
      </c>
      <c r="F14" s="11" t="s">
        <v>312</v>
      </c>
      <c r="G14" s="12" t="s">
        <v>313</v>
      </c>
      <c r="H14" s="13" t="s">
        <v>314</v>
      </c>
      <c r="I14" s="12" t="s">
        <v>315</v>
      </c>
    </row>
    <row r="15" spans="2:9" ht="24" customHeight="1" x14ac:dyDescent="0.6">
      <c r="B15" s="32" t="s">
        <v>316</v>
      </c>
      <c r="C15" s="33" t="s">
        <v>216</v>
      </c>
      <c r="D15" s="34" t="s">
        <v>317</v>
      </c>
      <c r="F15" s="11" t="s">
        <v>318</v>
      </c>
      <c r="G15" s="12" t="s">
        <v>319</v>
      </c>
      <c r="H15" s="13" t="s">
        <v>320</v>
      </c>
      <c r="I15" s="12" t="s">
        <v>321</v>
      </c>
    </row>
    <row r="16" spans="2:9" ht="24" customHeight="1" x14ac:dyDescent="0.6">
      <c r="B16" s="35" t="s">
        <v>322</v>
      </c>
      <c r="C16" s="36" t="s">
        <v>254</v>
      </c>
      <c r="D16" s="37" t="s">
        <v>323</v>
      </c>
      <c r="F16" s="23" t="s">
        <v>324</v>
      </c>
      <c r="G16" s="25" t="s">
        <v>325</v>
      </c>
      <c r="H16" s="24" t="s">
        <v>326</v>
      </c>
      <c r="I16" s="25" t="s">
        <v>327</v>
      </c>
    </row>
    <row r="17" spans="2:9" ht="24" customHeight="1" x14ac:dyDescent="0.6">
      <c r="B17" s="38" t="s">
        <v>328</v>
      </c>
      <c r="C17" s="39" t="s">
        <v>249</v>
      </c>
      <c r="D17" s="40" t="s">
        <v>329</v>
      </c>
      <c r="F17" s="23" t="s">
        <v>330</v>
      </c>
      <c r="G17" s="25" t="s">
        <v>331</v>
      </c>
      <c r="H17" s="24" t="s">
        <v>332</v>
      </c>
      <c r="I17" s="25" t="s">
        <v>333</v>
      </c>
    </row>
    <row r="18" spans="2:9" ht="24" customHeight="1" x14ac:dyDescent="0.6">
      <c r="B18" s="41" t="s">
        <v>334</v>
      </c>
      <c r="C18" s="42" t="s">
        <v>150</v>
      </c>
      <c r="D18" s="43" t="s">
        <v>335</v>
      </c>
      <c r="F18" s="23" t="s">
        <v>336</v>
      </c>
      <c r="G18" s="25" t="s">
        <v>337</v>
      </c>
      <c r="H18" s="24" t="s">
        <v>338</v>
      </c>
      <c r="I18" s="25" t="s">
        <v>339</v>
      </c>
    </row>
    <row r="19" spans="2:9" ht="20.100000000000001" customHeight="1" x14ac:dyDescent="0.6">
      <c r="B19" s="76" t="s">
        <v>340</v>
      </c>
      <c r="C19" s="72"/>
      <c r="D19" s="73"/>
      <c r="F19" s="23" t="s">
        <v>341</v>
      </c>
      <c r="G19" s="25" t="s">
        <v>342</v>
      </c>
      <c r="H19" s="24" t="s">
        <v>343</v>
      </c>
      <c r="I19" s="25" t="s">
        <v>344</v>
      </c>
    </row>
    <row r="20" spans="2:9" ht="21.95" customHeight="1" x14ac:dyDescent="0.6">
      <c r="B20" s="76" t="s">
        <v>345</v>
      </c>
      <c r="C20" s="72"/>
      <c r="D20" s="73"/>
      <c r="F20" s="32" t="s">
        <v>346</v>
      </c>
      <c r="G20" s="34" t="s">
        <v>347</v>
      </c>
      <c r="H20" s="33" t="s">
        <v>348</v>
      </c>
      <c r="I20" s="34" t="s">
        <v>349</v>
      </c>
    </row>
    <row r="21" spans="2:9" x14ac:dyDescent="0.6">
      <c r="F21" s="32" t="s">
        <v>350</v>
      </c>
      <c r="G21" s="34" t="s">
        <v>351</v>
      </c>
      <c r="H21" s="33" t="s">
        <v>352</v>
      </c>
      <c r="I21" s="34" t="s">
        <v>353</v>
      </c>
    </row>
    <row r="22" spans="2:9" ht="27.95" customHeight="1" x14ac:dyDescent="0.6">
      <c r="B22" s="80" t="s">
        <v>354</v>
      </c>
      <c r="C22" s="72"/>
      <c r="D22" s="72"/>
      <c r="E22" s="72"/>
      <c r="F22" s="72"/>
      <c r="G22" s="72"/>
      <c r="H22" s="72"/>
      <c r="I22" s="73"/>
    </row>
    <row r="23" spans="2:9" x14ac:dyDescent="0.6">
      <c r="F23" s="38" t="s">
        <v>355</v>
      </c>
      <c r="G23" s="40" t="s">
        <v>356</v>
      </c>
      <c r="H23" s="39" t="s">
        <v>357</v>
      </c>
      <c r="I23" s="40" t="s">
        <v>358</v>
      </c>
    </row>
  </sheetData>
  <mergeCells count="8">
    <mergeCell ref="B22:I22"/>
    <mergeCell ref="F5:I5"/>
    <mergeCell ref="B1:I1"/>
    <mergeCell ref="B20:D20"/>
    <mergeCell ref="B5:D5"/>
    <mergeCell ref="B19:D19"/>
    <mergeCell ref="B2:I2"/>
    <mergeCell ref="B3:I3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1" sqref="B1:H56"/>
    </sheetView>
  </sheetViews>
  <sheetFormatPr defaultRowHeight="16.899999999999999" x14ac:dyDescent="0.6"/>
  <cols>
    <col min="1" max="1" width="3" customWidth="1"/>
    <col min="2" max="2" width="12" customWidth="1"/>
    <col min="3" max="3" width="18" customWidth="1"/>
    <col min="4" max="4" width="26" customWidth="1"/>
    <col min="5" max="5" width="38" customWidth="1"/>
    <col min="6" max="6" width="11" customWidth="1"/>
    <col min="7" max="7" width="38" customWidth="1"/>
    <col min="8" max="8" width="16" customWidth="1"/>
    <col min="9" max="10" width="3" customWidth="1"/>
  </cols>
  <sheetData>
    <row r="1" spans="2:8" ht="38.1" customHeight="1" x14ac:dyDescent="0.6">
      <c r="B1" s="71" t="s">
        <v>0</v>
      </c>
      <c r="C1" s="72"/>
      <c r="D1" s="72"/>
      <c r="E1" s="72"/>
      <c r="F1" s="72"/>
      <c r="G1" s="72"/>
      <c r="H1" s="73"/>
    </row>
    <row r="2" spans="2:8" ht="20.100000000000001" customHeight="1" x14ac:dyDescent="0.6">
      <c r="B2" s="74" t="s">
        <v>1</v>
      </c>
      <c r="C2" s="72"/>
      <c r="D2" s="72"/>
      <c r="E2" s="72"/>
      <c r="F2" s="72"/>
      <c r="G2" s="72"/>
      <c r="H2" s="73"/>
    </row>
    <row r="4" spans="2:8" ht="27.95" customHeight="1" x14ac:dyDescent="0.6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2:8" ht="30" customHeight="1" x14ac:dyDescent="0.6">
      <c r="B5" s="8" t="s">
        <v>9</v>
      </c>
      <c r="C5" s="10" t="s">
        <v>10</v>
      </c>
      <c r="D5" s="44" t="s">
        <v>11</v>
      </c>
      <c r="E5" s="10" t="s">
        <v>12</v>
      </c>
      <c r="F5" s="45" t="s">
        <v>13</v>
      </c>
      <c r="G5" s="10" t="s">
        <v>14</v>
      </c>
      <c r="H5" s="46" t="s">
        <v>15</v>
      </c>
    </row>
    <row r="6" spans="2:8" ht="30" customHeight="1" x14ac:dyDescent="0.6">
      <c r="B6" s="8" t="s">
        <v>16</v>
      </c>
      <c r="C6" s="10" t="s">
        <v>10</v>
      </c>
      <c r="D6" s="44" t="s">
        <v>17</v>
      </c>
      <c r="E6" s="10" t="s">
        <v>18</v>
      </c>
      <c r="F6" s="45" t="s">
        <v>13</v>
      </c>
      <c r="G6" s="10" t="s">
        <v>19</v>
      </c>
      <c r="H6" s="46" t="s">
        <v>20</v>
      </c>
    </row>
    <row r="7" spans="2:8" ht="30" customHeight="1" x14ac:dyDescent="0.6">
      <c r="B7" s="20" t="s">
        <v>21</v>
      </c>
      <c r="C7" s="22" t="s">
        <v>22</v>
      </c>
      <c r="D7" s="47" t="s">
        <v>23</v>
      </c>
      <c r="E7" s="22" t="s">
        <v>24</v>
      </c>
      <c r="F7" s="45" t="s">
        <v>13</v>
      </c>
      <c r="G7" s="22" t="s">
        <v>25</v>
      </c>
      <c r="H7" s="46" t="s">
        <v>26</v>
      </c>
    </row>
    <row r="8" spans="2:8" ht="30" customHeight="1" x14ac:dyDescent="0.6">
      <c r="B8" s="26" t="s">
        <v>27</v>
      </c>
      <c r="C8" s="28" t="s">
        <v>28</v>
      </c>
      <c r="D8" s="48" t="s">
        <v>29</v>
      </c>
      <c r="E8" s="28" t="s">
        <v>30</v>
      </c>
      <c r="F8" s="45" t="s">
        <v>13</v>
      </c>
      <c r="G8" s="28" t="s">
        <v>31</v>
      </c>
      <c r="H8" s="46"/>
    </row>
    <row r="9" spans="2:8" ht="30" customHeight="1" x14ac:dyDescent="0.6">
      <c r="B9" s="8" t="s">
        <v>32</v>
      </c>
      <c r="C9" s="10" t="s">
        <v>10</v>
      </c>
      <c r="D9" s="44" t="s">
        <v>33</v>
      </c>
      <c r="E9" s="10" t="s">
        <v>34</v>
      </c>
      <c r="F9" s="49" t="s">
        <v>35</v>
      </c>
      <c r="G9" s="10" t="s">
        <v>36</v>
      </c>
      <c r="H9" s="46" t="s">
        <v>37</v>
      </c>
    </row>
    <row r="10" spans="2:8" ht="30" customHeight="1" x14ac:dyDescent="0.6">
      <c r="B10" s="8" t="s">
        <v>38</v>
      </c>
      <c r="C10" s="10" t="s">
        <v>10</v>
      </c>
      <c r="D10" s="44" t="s">
        <v>39</v>
      </c>
      <c r="E10" s="10" t="s">
        <v>40</v>
      </c>
      <c r="F10" s="49" t="s">
        <v>35</v>
      </c>
      <c r="G10" s="10" t="s">
        <v>41</v>
      </c>
      <c r="H10" s="46" t="s">
        <v>42</v>
      </c>
    </row>
    <row r="11" spans="2:8" ht="30" customHeight="1" x14ac:dyDescent="0.6">
      <c r="B11" s="8" t="s">
        <v>43</v>
      </c>
      <c r="C11" s="10" t="s">
        <v>10</v>
      </c>
      <c r="D11" s="44" t="s">
        <v>44</v>
      </c>
      <c r="E11" s="10" t="s">
        <v>45</v>
      </c>
      <c r="F11" s="49" t="s">
        <v>35</v>
      </c>
      <c r="G11" s="10" t="s">
        <v>46</v>
      </c>
      <c r="H11" s="46" t="s">
        <v>47</v>
      </c>
    </row>
    <row r="12" spans="2:8" ht="30" customHeight="1" x14ac:dyDescent="0.6">
      <c r="B12" s="8" t="s">
        <v>48</v>
      </c>
      <c r="C12" s="10" t="s">
        <v>10</v>
      </c>
      <c r="D12" s="44" t="s">
        <v>49</v>
      </c>
      <c r="E12" s="10" t="s">
        <v>50</v>
      </c>
      <c r="F12" s="49" t="s">
        <v>35</v>
      </c>
      <c r="G12" s="10" t="s">
        <v>51</v>
      </c>
      <c r="H12" s="46" t="s">
        <v>52</v>
      </c>
    </row>
    <row r="13" spans="2:8" ht="30" customHeight="1" x14ac:dyDescent="0.6">
      <c r="B13" s="8" t="s">
        <v>53</v>
      </c>
      <c r="C13" s="10" t="s">
        <v>10</v>
      </c>
      <c r="D13" s="44" t="s">
        <v>54</v>
      </c>
      <c r="E13" s="10" t="s">
        <v>55</v>
      </c>
      <c r="F13" s="49" t="s">
        <v>35</v>
      </c>
      <c r="G13" s="10" t="s">
        <v>56</v>
      </c>
      <c r="H13" s="46" t="s">
        <v>57</v>
      </c>
    </row>
    <row r="14" spans="2:8" ht="30" customHeight="1" x14ac:dyDescent="0.6">
      <c r="B14" s="8" t="s">
        <v>58</v>
      </c>
      <c r="C14" s="10" t="s">
        <v>10</v>
      </c>
      <c r="D14" s="44" t="s">
        <v>59</v>
      </c>
      <c r="E14" s="10" t="s">
        <v>60</v>
      </c>
      <c r="F14" s="49" t="s">
        <v>35</v>
      </c>
      <c r="G14" s="10" t="s">
        <v>61</v>
      </c>
      <c r="H14" s="46" t="s">
        <v>62</v>
      </c>
    </row>
    <row r="15" spans="2:8" ht="30" customHeight="1" x14ac:dyDescent="0.6">
      <c r="B15" s="2" t="s">
        <v>63</v>
      </c>
      <c r="C15" s="4" t="s">
        <v>64</v>
      </c>
      <c r="D15" s="50" t="s">
        <v>65</v>
      </c>
      <c r="E15" s="4" t="s">
        <v>66</v>
      </c>
      <c r="F15" s="49" t="s">
        <v>35</v>
      </c>
      <c r="G15" s="4" t="s">
        <v>67</v>
      </c>
      <c r="H15" s="46" t="s">
        <v>68</v>
      </c>
    </row>
    <row r="16" spans="2:8" ht="30" customHeight="1" x14ac:dyDescent="0.6">
      <c r="B16" s="2" t="s">
        <v>69</v>
      </c>
      <c r="C16" s="4" t="s">
        <v>64</v>
      </c>
      <c r="D16" s="50" t="s">
        <v>70</v>
      </c>
      <c r="E16" s="4" t="s">
        <v>71</v>
      </c>
      <c r="F16" s="49" t="s">
        <v>35</v>
      </c>
      <c r="G16" s="4" t="s">
        <v>72</v>
      </c>
      <c r="H16" s="46" t="s">
        <v>73</v>
      </c>
    </row>
    <row r="17" spans="2:8" ht="30" customHeight="1" x14ac:dyDescent="0.6">
      <c r="B17" s="14" t="s">
        <v>74</v>
      </c>
      <c r="C17" s="16" t="s">
        <v>75</v>
      </c>
      <c r="D17" s="51" t="s">
        <v>76</v>
      </c>
      <c r="E17" s="16" t="s">
        <v>77</v>
      </c>
      <c r="F17" s="49" t="s">
        <v>35</v>
      </c>
      <c r="G17" s="16" t="s">
        <v>78</v>
      </c>
      <c r="H17" s="46" t="s">
        <v>79</v>
      </c>
    </row>
    <row r="18" spans="2:8" ht="30" customHeight="1" x14ac:dyDescent="0.6">
      <c r="B18" s="14" t="s">
        <v>80</v>
      </c>
      <c r="C18" s="16" t="s">
        <v>75</v>
      </c>
      <c r="D18" s="51" t="s">
        <v>81</v>
      </c>
      <c r="E18" s="16" t="s">
        <v>82</v>
      </c>
      <c r="F18" s="49" t="s">
        <v>35</v>
      </c>
      <c r="G18" s="16" t="s">
        <v>83</v>
      </c>
      <c r="H18" s="46" t="s">
        <v>84</v>
      </c>
    </row>
    <row r="19" spans="2:8" ht="30" customHeight="1" x14ac:dyDescent="0.6">
      <c r="B19" s="14" t="s">
        <v>85</v>
      </c>
      <c r="C19" s="16" t="s">
        <v>75</v>
      </c>
      <c r="D19" s="51" t="s">
        <v>86</v>
      </c>
      <c r="E19" s="16" t="s">
        <v>87</v>
      </c>
      <c r="F19" s="49" t="s">
        <v>35</v>
      </c>
      <c r="G19" s="16" t="s">
        <v>88</v>
      </c>
      <c r="H19" s="46" t="s">
        <v>89</v>
      </c>
    </row>
    <row r="20" spans="2:8" ht="30" customHeight="1" x14ac:dyDescent="0.6">
      <c r="B20" s="20" t="s">
        <v>90</v>
      </c>
      <c r="C20" s="22" t="s">
        <v>22</v>
      </c>
      <c r="D20" s="47" t="s">
        <v>91</v>
      </c>
      <c r="E20" s="22" t="s">
        <v>92</v>
      </c>
      <c r="F20" s="49" t="s">
        <v>35</v>
      </c>
      <c r="G20" s="22" t="s">
        <v>93</v>
      </c>
      <c r="H20" s="46" t="s">
        <v>94</v>
      </c>
    </row>
    <row r="21" spans="2:8" ht="30" customHeight="1" x14ac:dyDescent="0.6">
      <c r="B21" s="20" t="s">
        <v>95</v>
      </c>
      <c r="C21" s="22" t="s">
        <v>22</v>
      </c>
      <c r="D21" s="47" t="s">
        <v>96</v>
      </c>
      <c r="E21" s="22" t="s">
        <v>97</v>
      </c>
      <c r="F21" s="49" t="s">
        <v>35</v>
      </c>
      <c r="G21" s="22" t="s">
        <v>98</v>
      </c>
      <c r="H21" s="46" t="s">
        <v>99</v>
      </c>
    </row>
    <row r="22" spans="2:8" ht="30" customHeight="1" x14ac:dyDescent="0.6">
      <c r="B22" s="20" t="s">
        <v>100</v>
      </c>
      <c r="C22" s="22" t="s">
        <v>22</v>
      </c>
      <c r="D22" s="47" t="s">
        <v>101</v>
      </c>
      <c r="E22" s="22" t="s">
        <v>102</v>
      </c>
      <c r="F22" s="49" t="s">
        <v>35</v>
      </c>
      <c r="G22" s="22" t="s">
        <v>103</v>
      </c>
      <c r="H22" s="46" t="s">
        <v>104</v>
      </c>
    </row>
    <row r="23" spans="2:8" ht="30" customHeight="1" x14ac:dyDescent="0.6">
      <c r="B23" s="17" t="s">
        <v>105</v>
      </c>
      <c r="C23" s="18" t="s">
        <v>106</v>
      </c>
      <c r="D23" s="52" t="s">
        <v>107</v>
      </c>
      <c r="E23" s="18" t="s">
        <v>108</v>
      </c>
      <c r="F23" s="49" t="s">
        <v>35</v>
      </c>
      <c r="G23" s="18" t="s">
        <v>109</v>
      </c>
      <c r="H23" s="46" t="s">
        <v>110</v>
      </c>
    </row>
    <row r="24" spans="2:8" ht="30" customHeight="1" x14ac:dyDescent="0.6">
      <c r="B24" s="17" t="s">
        <v>111</v>
      </c>
      <c r="C24" s="18" t="s">
        <v>106</v>
      </c>
      <c r="D24" s="52" t="s">
        <v>112</v>
      </c>
      <c r="E24" s="18" t="s">
        <v>113</v>
      </c>
      <c r="F24" s="49" t="s">
        <v>35</v>
      </c>
      <c r="G24" s="18" t="s">
        <v>114</v>
      </c>
      <c r="H24" s="46" t="s">
        <v>115</v>
      </c>
    </row>
    <row r="25" spans="2:8" ht="30" customHeight="1" x14ac:dyDescent="0.6">
      <c r="B25" s="26" t="s">
        <v>116</v>
      </c>
      <c r="C25" s="28" t="s">
        <v>28</v>
      </c>
      <c r="D25" s="48" t="s">
        <v>117</v>
      </c>
      <c r="E25" s="28" t="s">
        <v>118</v>
      </c>
      <c r="F25" s="49" t="s">
        <v>35</v>
      </c>
      <c r="G25" s="28" t="s">
        <v>119</v>
      </c>
      <c r="H25" s="46"/>
    </row>
    <row r="26" spans="2:8" ht="30" customHeight="1" x14ac:dyDescent="0.6">
      <c r="B26" s="26" t="s">
        <v>120</v>
      </c>
      <c r="C26" s="28" t="s">
        <v>28</v>
      </c>
      <c r="D26" s="48" t="s">
        <v>121</v>
      </c>
      <c r="E26" s="28" t="s">
        <v>122</v>
      </c>
      <c r="F26" s="49" t="s">
        <v>35</v>
      </c>
      <c r="G26" s="28" t="s">
        <v>123</v>
      </c>
      <c r="H26" s="46"/>
    </row>
    <row r="27" spans="2:8" ht="30" customHeight="1" x14ac:dyDescent="0.6">
      <c r="B27" s="26" t="s">
        <v>124</v>
      </c>
      <c r="C27" s="28" t="s">
        <v>28</v>
      </c>
      <c r="D27" s="48" t="s">
        <v>125</v>
      </c>
      <c r="E27" s="28" t="s">
        <v>126</v>
      </c>
      <c r="F27" s="49" t="s">
        <v>35</v>
      </c>
      <c r="G27" s="28" t="s">
        <v>127</v>
      </c>
      <c r="H27" s="46"/>
    </row>
    <row r="28" spans="2:8" ht="30" customHeight="1" x14ac:dyDescent="0.6">
      <c r="B28" s="26" t="s">
        <v>128</v>
      </c>
      <c r="C28" s="28" t="s">
        <v>28</v>
      </c>
      <c r="D28" s="48" t="s">
        <v>129</v>
      </c>
      <c r="E28" s="28" t="s">
        <v>130</v>
      </c>
      <c r="F28" s="49" t="s">
        <v>35</v>
      </c>
      <c r="G28" s="28" t="s">
        <v>131</v>
      </c>
      <c r="H28" s="46"/>
    </row>
    <row r="29" spans="2:8" ht="30" customHeight="1" x14ac:dyDescent="0.6">
      <c r="B29" s="26" t="s">
        <v>132</v>
      </c>
      <c r="C29" s="28" t="s">
        <v>28</v>
      </c>
      <c r="D29" s="48" t="s">
        <v>133</v>
      </c>
      <c r="E29" s="28" t="s">
        <v>134</v>
      </c>
      <c r="F29" s="49" t="s">
        <v>35</v>
      </c>
      <c r="G29" s="28" t="s">
        <v>135</v>
      </c>
      <c r="H29" s="46"/>
    </row>
    <row r="30" spans="2:8" ht="30" customHeight="1" x14ac:dyDescent="0.6">
      <c r="B30" s="23" t="s">
        <v>136</v>
      </c>
      <c r="C30" s="25" t="s">
        <v>137</v>
      </c>
      <c r="D30" s="53" t="s">
        <v>138</v>
      </c>
      <c r="E30" s="25" t="s">
        <v>139</v>
      </c>
      <c r="F30" s="49" t="s">
        <v>35</v>
      </c>
      <c r="G30" s="25" t="s">
        <v>140</v>
      </c>
      <c r="H30" s="46"/>
    </row>
    <row r="31" spans="2:8" ht="30" customHeight="1" x14ac:dyDescent="0.6">
      <c r="B31" s="23" t="s">
        <v>141</v>
      </c>
      <c r="C31" s="25" t="s">
        <v>137</v>
      </c>
      <c r="D31" s="53" t="s">
        <v>142</v>
      </c>
      <c r="E31" s="25" t="s">
        <v>143</v>
      </c>
      <c r="F31" s="49" t="s">
        <v>35</v>
      </c>
      <c r="G31" s="25" t="s">
        <v>144</v>
      </c>
      <c r="H31" s="46"/>
    </row>
    <row r="32" spans="2:8" ht="30" customHeight="1" x14ac:dyDescent="0.6">
      <c r="B32" s="23" t="s">
        <v>145</v>
      </c>
      <c r="C32" s="25" t="s">
        <v>137</v>
      </c>
      <c r="D32" s="53" t="s">
        <v>146</v>
      </c>
      <c r="E32" s="25" t="s">
        <v>147</v>
      </c>
      <c r="F32" s="49" t="s">
        <v>35</v>
      </c>
      <c r="G32" s="25" t="s">
        <v>148</v>
      </c>
      <c r="H32" s="46"/>
    </row>
    <row r="33" spans="2:8" ht="30" customHeight="1" x14ac:dyDescent="0.6">
      <c r="B33" s="41" t="s">
        <v>149</v>
      </c>
      <c r="C33" s="43" t="s">
        <v>150</v>
      </c>
      <c r="D33" s="54" t="s">
        <v>151</v>
      </c>
      <c r="E33" s="43" t="s">
        <v>152</v>
      </c>
      <c r="F33" s="49" t="s">
        <v>35</v>
      </c>
      <c r="G33" s="43" t="s">
        <v>153</v>
      </c>
      <c r="H33" s="46"/>
    </row>
    <row r="34" spans="2:8" ht="30" customHeight="1" x14ac:dyDescent="0.6">
      <c r="B34" s="41" t="s">
        <v>154</v>
      </c>
      <c r="C34" s="43" t="s">
        <v>150</v>
      </c>
      <c r="D34" s="54" t="s">
        <v>155</v>
      </c>
      <c r="E34" s="43" t="s">
        <v>156</v>
      </c>
      <c r="F34" s="49" t="s">
        <v>35</v>
      </c>
      <c r="G34" s="43" t="s">
        <v>157</v>
      </c>
      <c r="H34" s="46"/>
    </row>
    <row r="35" spans="2:8" ht="30" customHeight="1" x14ac:dyDescent="0.6">
      <c r="B35" s="41" t="s">
        <v>158</v>
      </c>
      <c r="C35" s="43" t="s">
        <v>150</v>
      </c>
      <c r="D35" s="54" t="s">
        <v>159</v>
      </c>
      <c r="E35" s="43" t="s">
        <v>160</v>
      </c>
      <c r="F35" s="49" t="s">
        <v>35</v>
      </c>
      <c r="G35" s="43" t="s">
        <v>161</v>
      </c>
      <c r="H35" s="46"/>
    </row>
    <row r="36" spans="2:8" ht="30" customHeight="1" x14ac:dyDescent="0.6">
      <c r="B36" s="8" t="s">
        <v>162</v>
      </c>
      <c r="C36" s="10" t="s">
        <v>10</v>
      </c>
      <c r="D36" s="44" t="s">
        <v>163</v>
      </c>
      <c r="E36" s="10" t="s">
        <v>164</v>
      </c>
      <c r="F36" s="55" t="s">
        <v>165</v>
      </c>
      <c r="G36" s="10" t="s">
        <v>166</v>
      </c>
      <c r="H36" s="46" t="s">
        <v>167</v>
      </c>
    </row>
    <row r="37" spans="2:8" ht="30" customHeight="1" x14ac:dyDescent="0.6">
      <c r="B37" s="2" t="s">
        <v>168</v>
      </c>
      <c r="C37" s="4" t="s">
        <v>64</v>
      </c>
      <c r="D37" s="50" t="s">
        <v>169</v>
      </c>
      <c r="E37" s="4" t="s">
        <v>170</v>
      </c>
      <c r="F37" s="55" t="s">
        <v>165</v>
      </c>
      <c r="G37" s="4" t="s">
        <v>171</v>
      </c>
      <c r="H37" s="46" t="s">
        <v>172</v>
      </c>
    </row>
    <row r="38" spans="2:8" ht="30" customHeight="1" x14ac:dyDescent="0.6">
      <c r="B38" s="2" t="s">
        <v>173</v>
      </c>
      <c r="C38" s="4" t="s">
        <v>64</v>
      </c>
      <c r="D38" s="50" t="s">
        <v>174</v>
      </c>
      <c r="E38" s="4" t="s">
        <v>175</v>
      </c>
      <c r="F38" s="55" t="s">
        <v>165</v>
      </c>
      <c r="G38" s="4" t="s">
        <v>176</v>
      </c>
      <c r="H38" s="46" t="s">
        <v>177</v>
      </c>
    </row>
    <row r="39" spans="2:8" ht="30" customHeight="1" x14ac:dyDescent="0.6">
      <c r="B39" s="20" t="s">
        <v>178</v>
      </c>
      <c r="C39" s="22" t="s">
        <v>22</v>
      </c>
      <c r="D39" s="47" t="s">
        <v>179</v>
      </c>
      <c r="E39" s="22" t="s">
        <v>180</v>
      </c>
      <c r="F39" s="55" t="s">
        <v>165</v>
      </c>
      <c r="G39" s="22" t="s">
        <v>181</v>
      </c>
      <c r="H39" s="46" t="s">
        <v>182</v>
      </c>
    </row>
    <row r="40" spans="2:8" ht="30" customHeight="1" x14ac:dyDescent="0.6">
      <c r="B40" s="20" t="s">
        <v>183</v>
      </c>
      <c r="C40" s="22" t="s">
        <v>22</v>
      </c>
      <c r="D40" s="47" t="s">
        <v>184</v>
      </c>
      <c r="E40" s="22" t="s">
        <v>185</v>
      </c>
      <c r="F40" s="55" t="s">
        <v>165</v>
      </c>
      <c r="G40" s="22" t="s">
        <v>186</v>
      </c>
      <c r="H40" s="46" t="s">
        <v>187</v>
      </c>
    </row>
    <row r="41" spans="2:8" ht="30" customHeight="1" x14ac:dyDescent="0.6">
      <c r="B41" s="20" t="s">
        <v>188</v>
      </c>
      <c r="C41" s="22" t="s">
        <v>22</v>
      </c>
      <c r="D41" s="47" t="s">
        <v>189</v>
      </c>
      <c r="E41" s="22" t="s">
        <v>190</v>
      </c>
      <c r="F41" s="55" t="s">
        <v>165</v>
      </c>
      <c r="G41" s="22" t="s">
        <v>191</v>
      </c>
      <c r="H41" s="46" t="s">
        <v>192</v>
      </c>
    </row>
    <row r="42" spans="2:8" ht="30" customHeight="1" x14ac:dyDescent="0.6">
      <c r="B42" s="20" t="s">
        <v>193</v>
      </c>
      <c r="C42" s="22" t="s">
        <v>22</v>
      </c>
      <c r="D42" s="47" t="s">
        <v>194</v>
      </c>
      <c r="E42" s="22" t="s">
        <v>195</v>
      </c>
      <c r="F42" s="55" t="s">
        <v>165</v>
      </c>
      <c r="G42" s="22" t="s">
        <v>196</v>
      </c>
      <c r="H42" s="46" t="s">
        <v>197</v>
      </c>
    </row>
    <row r="43" spans="2:8" ht="30" customHeight="1" x14ac:dyDescent="0.6">
      <c r="B43" s="65" t="s">
        <v>198</v>
      </c>
      <c r="C43" s="70" t="s">
        <v>22</v>
      </c>
      <c r="D43" s="66" t="s">
        <v>199</v>
      </c>
      <c r="E43" s="67" t="s">
        <v>200</v>
      </c>
      <c r="F43" s="68" t="s">
        <v>165</v>
      </c>
      <c r="G43" s="67" t="s">
        <v>201</v>
      </c>
      <c r="H43" s="69"/>
    </row>
    <row r="44" spans="2:8" ht="30" customHeight="1" x14ac:dyDescent="0.6">
      <c r="B44" s="29" t="s">
        <v>202</v>
      </c>
      <c r="C44" s="31" t="s">
        <v>203</v>
      </c>
      <c r="D44" s="56" t="s">
        <v>204</v>
      </c>
      <c r="E44" s="31" t="s">
        <v>205</v>
      </c>
      <c r="F44" s="55" t="s">
        <v>165</v>
      </c>
      <c r="G44" s="31" t="s">
        <v>206</v>
      </c>
      <c r="H44" s="46"/>
    </row>
    <row r="45" spans="2:8" ht="30" customHeight="1" x14ac:dyDescent="0.6">
      <c r="B45" s="29" t="s">
        <v>207</v>
      </c>
      <c r="C45" s="31" t="s">
        <v>203</v>
      </c>
      <c r="D45" s="56" t="s">
        <v>208</v>
      </c>
      <c r="E45" s="31" t="s">
        <v>209</v>
      </c>
      <c r="F45" s="55" t="s">
        <v>165</v>
      </c>
      <c r="G45" s="31" t="s">
        <v>210</v>
      </c>
      <c r="H45" s="46"/>
    </row>
    <row r="46" spans="2:8" ht="30" customHeight="1" x14ac:dyDescent="0.6">
      <c r="B46" s="29" t="s">
        <v>211</v>
      </c>
      <c r="C46" s="31" t="s">
        <v>203</v>
      </c>
      <c r="D46" s="56" t="s">
        <v>212</v>
      </c>
      <c r="E46" s="31" t="s">
        <v>213</v>
      </c>
      <c r="F46" s="55" t="s">
        <v>165</v>
      </c>
      <c r="G46" s="31" t="s">
        <v>214</v>
      </c>
      <c r="H46" s="46"/>
    </row>
    <row r="47" spans="2:8" ht="30" customHeight="1" x14ac:dyDescent="0.6">
      <c r="B47" s="32" t="s">
        <v>215</v>
      </c>
      <c r="C47" s="34" t="s">
        <v>216</v>
      </c>
      <c r="D47" s="57" t="s">
        <v>217</v>
      </c>
      <c r="E47" s="34" t="s">
        <v>218</v>
      </c>
      <c r="F47" s="55" t="s">
        <v>165</v>
      </c>
      <c r="G47" s="34" t="s">
        <v>219</v>
      </c>
      <c r="H47" s="46"/>
    </row>
    <row r="48" spans="2:8" ht="30" customHeight="1" x14ac:dyDescent="0.6">
      <c r="B48" s="32" t="s">
        <v>220</v>
      </c>
      <c r="C48" s="34" t="s">
        <v>216</v>
      </c>
      <c r="D48" s="57" t="s">
        <v>221</v>
      </c>
      <c r="E48" s="34" t="s">
        <v>222</v>
      </c>
      <c r="F48" s="55" t="s">
        <v>165</v>
      </c>
      <c r="G48" s="34" t="s">
        <v>223</v>
      </c>
      <c r="H48" s="46"/>
    </row>
    <row r="49" spans="2:8" ht="30" customHeight="1" x14ac:dyDescent="0.6">
      <c r="B49" s="32" t="s">
        <v>224</v>
      </c>
      <c r="C49" s="34" t="s">
        <v>216</v>
      </c>
      <c r="D49" s="57" t="s">
        <v>225</v>
      </c>
      <c r="E49" s="34" t="s">
        <v>226</v>
      </c>
      <c r="F49" s="55" t="s">
        <v>165</v>
      </c>
      <c r="G49" s="34" t="s">
        <v>227</v>
      </c>
      <c r="H49" s="46"/>
    </row>
    <row r="50" spans="2:8" ht="30" customHeight="1" x14ac:dyDescent="0.6">
      <c r="B50" s="23" t="s">
        <v>228</v>
      </c>
      <c r="C50" s="25" t="s">
        <v>137</v>
      </c>
      <c r="D50" s="53" t="s">
        <v>229</v>
      </c>
      <c r="E50" s="25" t="s">
        <v>230</v>
      </c>
      <c r="F50" s="55" t="s">
        <v>165</v>
      </c>
      <c r="G50" s="25" t="s">
        <v>231</v>
      </c>
      <c r="H50" s="46"/>
    </row>
    <row r="51" spans="2:8" ht="30" customHeight="1" x14ac:dyDescent="0.6">
      <c r="B51" s="23" t="s">
        <v>232</v>
      </c>
      <c r="C51" s="25" t="s">
        <v>137</v>
      </c>
      <c r="D51" s="53" t="s">
        <v>233</v>
      </c>
      <c r="E51" s="25" t="s">
        <v>234</v>
      </c>
      <c r="F51" s="55" t="s">
        <v>165</v>
      </c>
      <c r="G51" s="25" t="s">
        <v>235</v>
      </c>
      <c r="H51" s="46"/>
    </row>
    <row r="52" spans="2:8" ht="30" customHeight="1" x14ac:dyDescent="0.6">
      <c r="B52" s="26" t="s">
        <v>236</v>
      </c>
      <c r="C52" s="28" t="s">
        <v>28</v>
      </c>
      <c r="D52" s="48" t="s">
        <v>237</v>
      </c>
      <c r="E52" s="28" t="s">
        <v>238</v>
      </c>
      <c r="F52" s="55" t="s">
        <v>165</v>
      </c>
      <c r="G52" s="28" t="s">
        <v>239</v>
      </c>
      <c r="H52" s="46"/>
    </row>
    <row r="53" spans="2:8" ht="30" customHeight="1" x14ac:dyDescent="0.6">
      <c r="B53" s="41" t="s">
        <v>240</v>
      </c>
      <c r="C53" s="43" t="s">
        <v>150</v>
      </c>
      <c r="D53" s="54" t="s">
        <v>241</v>
      </c>
      <c r="E53" s="43" t="s">
        <v>242</v>
      </c>
      <c r="F53" s="55" t="s">
        <v>165</v>
      </c>
      <c r="G53" s="43" t="s">
        <v>243</v>
      </c>
      <c r="H53" s="46"/>
    </row>
    <row r="54" spans="2:8" ht="30" customHeight="1" x14ac:dyDescent="0.6">
      <c r="B54" s="41" t="s">
        <v>244</v>
      </c>
      <c r="C54" s="43" t="s">
        <v>150</v>
      </c>
      <c r="D54" s="54" t="s">
        <v>245</v>
      </c>
      <c r="E54" s="43" t="s">
        <v>246</v>
      </c>
      <c r="F54" s="55" t="s">
        <v>165</v>
      </c>
      <c r="G54" s="43" t="s">
        <v>247</v>
      </c>
      <c r="H54" s="46"/>
    </row>
    <row r="55" spans="2:8" ht="30" customHeight="1" x14ac:dyDescent="0.6">
      <c r="B55" s="38" t="s">
        <v>248</v>
      </c>
      <c r="C55" s="40" t="s">
        <v>249</v>
      </c>
      <c r="D55" s="58" t="s">
        <v>250</v>
      </c>
      <c r="E55" s="40" t="s">
        <v>251</v>
      </c>
      <c r="F55" s="55" t="s">
        <v>165</v>
      </c>
      <c r="G55" s="40" t="s">
        <v>252</v>
      </c>
      <c r="H55" s="46"/>
    </row>
    <row r="56" spans="2:8" ht="30" customHeight="1" x14ac:dyDescent="0.6">
      <c r="B56" s="35" t="s">
        <v>253</v>
      </c>
      <c r="C56" s="37" t="s">
        <v>254</v>
      </c>
      <c r="D56" s="59" t="s">
        <v>255</v>
      </c>
      <c r="E56" s="37" t="s">
        <v>256</v>
      </c>
      <c r="F56" s="55" t="s">
        <v>165</v>
      </c>
      <c r="G56" s="37" t="s">
        <v>257</v>
      </c>
      <c r="H56" s="46"/>
    </row>
  </sheetData>
  <mergeCells count="2">
    <mergeCell ref="B1:H1"/>
    <mergeCell ref="B2:H2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6"/>
  <sheetViews>
    <sheetView showGridLines="0" workbookViewId="0"/>
  </sheetViews>
  <sheetFormatPr defaultRowHeight="16.899999999999999" x14ac:dyDescent="0.6"/>
  <cols>
    <col min="1" max="1" width="3" customWidth="1"/>
    <col min="2" max="2" width="20" customWidth="1"/>
    <col min="3" max="6" width="14" customWidth="1"/>
    <col min="7" max="7" width="3" customWidth="1"/>
  </cols>
  <sheetData>
    <row r="1" spans="2:6" ht="36" customHeight="1" x14ac:dyDescent="0.6">
      <c r="B1" s="81" t="s">
        <v>359</v>
      </c>
      <c r="C1" s="72"/>
      <c r="D1" s="72"/>
      <c r="E1" s="72"/>
      <c r="F1" s="73"/>
    </row>
    <row r="3" spans="2:6" ht="27.95" customHeight="1" x14ac:dyDescent="0.6">
      <c r="B3" s="1" t="s">
        <v>3</v>
      </c>
      <c r="C3" s="45" t="s">
        <v>13</v>
      </c>
      <c r="D3" s="49" t="s">
        <v>35</v>
      </c>
      <c r="E3" s="55" t="s">
        <v>165</v>
      </c>
      <c r="F3" s="1" t="s">
        <v>360</v>
      </c>
    </row>
    <row r="4" spans="2:6" ht="26.1" customHeight="1" x14ac:dyDescent="0.6">
      <c r="B4" s="50" t="s">
        <v>361</v>
      </c>
      <c r="C4" s="60" t="s">
        <v>362</v>
      </c>
      <c r="D4" s="61">
        <v>2</v>
      </c>
      <c r="E4" s="62">
        <v>2</v>
      </c>
      <c r="F4" s="2">
        <v>4</v>
      </c>
    </row>
    <row r="5" spans="2:6" ht="26.1" customHeight="1" x14ac:dyDescent="0.6">
      <c r="B5" s="44" t="s">
        <v>363</v>
      </c>
      <c r="C5" s="63">
        <v>2</v>
      </c>
      <c r="D5" s="61">
        <v>6</v>
      </c>
      <c r="E5" s="62">
        <v>1</v>
      </c>
      <c r="F5" s="8">
        <v>9</v>
      </c>
    </row>
    <row r="6" spans="2:6" ht="26.1" customHeight="1" x14ac:dyDescent="0.6">
      <c r="B6" s="51" t="s">
        <v>364</v>
      </c>
      <c r="C6" s="60" t="s">
        <v>362</v>
      </c>
      <c r="D6" s="61">
        <v>3</v>
      </c>
      <c r="E6" s="60" t="s">
        <v>362</v>
      </c>
      <c r="F6" s="14">
        <v>3</v>
      </c>
    </row>
    <row r="7" spans="2:6" ht="26.1" customHeight="1" x14ac:dyDescent="0.6">
      <c r="B7" s="47" t="s">
        <v>365</v>
      </c>
      <c r="C7" s="63">
        <v>1</v>
      </c>
      <c r="D7" s="61">
        <v>3</v>
      </c>
      <c r="E7" s="62">
        <v>4</v>
      </c>
      <c r="F7" s="20">
        <v>8</v>
      </c>
    </row>
    <row r="8" spans="2:6" ht="26.1" customHeight="1" x14ac:dyDescent="0.6">
      <c r="B8" s="52" t="s">
        <v>366</v>
      </c>
      <c r="C8" s="60" t="s">
        <v>362</v>
      </c>
      <c r="D8" s="61">
        <v>2</v>
      </c>
      <c r="E8" s="62">
        <v>1</v>
      </c>
      <c r="F8" s="17">
        <v>3</v>
      </c>
    </row>
    <row r="9" spans="2:6" ht="26.1" customHeight="1" x14ac:dyDescent="0.6">
      <c r="B9" s="53" t="s">
        <v>367</v>
      </c>
      <c r="C9" s="60" t="s">
        <v>362</v>
      </c>
      <c r="D9" s="61">
        <v>3</v>
      </c>
      <c r="E9" s="62">
        <v>2</v>
      </c>
      <c r="F9" s="23">
        <v>5</v>
      </c>
    </row>
    <row r="10" spans="2:6" ht="26.1" customHeight="1" x14ac:dyDescent="0.6">
      <c r="B10" s="48" t="s">
        <v>368</v>
      </c>
      <c r="C10" s="63">
        <v>1</v>
      </c>
      <c r="D10" s="61">
        <v>5</v>
      </c>
      <c r="E10" s="62">
        <v>1</v>
      </c>
      <c r="F10" s="26">
        <v>7</v>
      </c>
    </row>
    <row r="11" spans="2:6" ht="26.1" customHeight="1" x14ac:dyDescent="0.6">
      <c r="B11" s="56" t="s">
        <v>369</v>
      </c>
      <c r="C11" s="60" t="s">
        <v>362</v>
      </c>
      <c r="D11" s="60" t="s">
        <v>362</v>
      </c>
      <c r="E11" s="62">
        <v>3</v>
      </c>
      <c r="F11" s="29">
        <v>3</v>
      </c>
    </row>
    <row r="12" spans="2:6" ht="26.1" customHeight="1" x14ac:dyDescent="0.6">
      <c r="B12" s="57" t="s">
        <v>370</v>
      </c>
      <c r="C12" s="60" t="s">
        <v>362</v>
      </c>
      <c r="D12" s="60" t="s">
        <v>362</v>
      </c>
      <c r="E12" s="62">
        <v>3</v>
      </c>
      <c r="F12" s="32">
        <v>3</v>
      </c>
    </row>
    <row r="13" spans="2:6" ht="26.1" customHeight="1" x14ac:dyDescent="0.6">
      <c r="B13" s="59" t="s">
        <v>371</v>
      </c>
      <c r="C13" s="60" t="s">
        <v>362</v>
      </c>
      <c r="D13" s="60" t="s">
        <v>362</v>
      </c>
      <c r="E13" s="62">
        <v>1</v>
      </c>
      <c r="F13" s="35">
        <v>1</v>
      </c>
    </row>
    <row r="14" spans="2:6" ht="26.1" customHeight="1" x14ac:dyDescent="0.6">
      <c r="B14" s="58" t="s">
        <v>372</v>
      </c>
      <c r="C14" s="60" t="s">
        <v>362</v>
      </c>
      <c r="D14" s="60" t="s">
        <v>362</v>
      </c>
      <c r="E14" s="62">
        <v>1</v>
      </c>
      <c r="F14" s="38">
        <v>1</v>
      </c>
    </row>
    <row r="15" spans="2:6" ht="26.1" customHeight="1" x14ac:dyDescent="0.6">
      <c r="B15" s="54" t="s">
        <v>373</v>
      </c>
      <c r="C15" s="60" t="s">
        <v>362</v>
      </c>
      <c r="D15" s="61">
        <v>3</v>
      </c>
      <c r="E15" s="62">
        <v>2</v>
      </c>
      <c r="F15" s="41">
        <v>5</v>
      </c>
    </row>
    <row r="16" spans="2:6" ht="27.95" customHeight="1" x14ac:dyDescent="0.6">
      <c r="B16" s="64" t="s">
        <v>360</v>
      </c>
      <c r="C16" s="64">
        <f>SUM(C4:C15)</f>
        <v>4</v>
      </c>
      <c r="D16" s="64">
        <f>SUM(D4:D15)</f>
        <v>27</v>
      </c>
      <c r="E16" s="64">
        <f>SUM(E4:E15)</f>
        <v>21</v>
      </c>
      <c r="F16" s="64">
        <f>SUM(F4:F15)</f>
        <v>52</v>
      </c>
    </row>
  </sheetData>
  <mergeCells count="1">
    <mergeCell ref="B1:F1"/>
  </mergeCells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코드체계 설명</vt:lpstr>
      <vt:lpstr>전체 오류코드 50선</vt:lpstr>
      <vt:lpstr>분류별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SiHyung Lee</cp:lastModifiedBy>
  <dcterms:created xsi:type="dcterms:W3CDTF">2026-04-18T16:31:01Z</dcterms:created>
  <dcterms:modified xsi:type="dcterms:W3CDTF">2026-05-01T09:30:37Z</dcterms:modified>
</cp:coreProperties>
</file>